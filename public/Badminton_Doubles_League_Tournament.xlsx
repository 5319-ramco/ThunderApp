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SS gifts\Thunder\"/>
    </mc:Choice>
  </mc:AlternateContent>
  <bookViews>
    <workbookView xWindow="0" yWindow="0" windowWidth="28800" windowHeight="11685"/>
  </bookViews>
  <sheets>
    <sheet name="Tournament" sheetId="1" r:id="rId1"/>
  </sheets>
  <calcPr calcId="162913"/>
</workbook>
</file>

<file path=xl/calcChain.xml><?xml version="1.0" encoding="utf-8"?>
<calcChain xmlns="http://schemas.openxmlformats.org/spreadsheetml/2006/main">
  <c r="F22" i="1" l="1"/>
  <c r="E19" i="1" l="1"/>
  <c r="H9" i="1"/>
  <c r="G9" i="1"/>
  <c r="H3" i="1"/>
  <c r="F21" i="1" l="1"/>
  <c r="F20" i="1"/>
  <c r="A22" i="1" l="1"/>
  <c r="A20" i="1"/>
  <c r="A19" i="1"/>
  <c r="A21" i="1"/>
</calcChain>
</file>

<file path=xl/sharedStrings.xml><?xml version="1.0" encoding="utf-8"?>
<sst xmlns="http://schemas.openxmlformats.org/spreadsheetml/2006/main" count="60" uniqueCount="29">
  <si>
    <t>BADMINTON DOUBLES LEAGUE TOURNAMENT</t>
  </si>
  <si>
    <t>Team A</t>
  </si>
  <si>
    <t>Team B</t>
  </si>
  <si>
    <t>Team C</t>
  </si>
  <si>
    <t>Team D</t>
  </si>
  <si>
    <t>Match</t>
  </si>
  <si>
    <t>Team 1</t>
  </si>
  <si>
    <t>Players</t>
  </si>
  <si>
    <t>Team 2</t>
  </si>
  <si>
    <t>Winner</t>
  </si>
  <si>
    <t>Match 1</t>
  </si>
  <si>
    <t>Pradab &amp; Pandi</t>
  </si>
  <si>
    <t>Gowtham &amp; Deepak</t>
  </si>
  <si>
    <t>Match 2</t>
  </si>
  <si>
    <t>Lokesh &amp; Karuna</t>
  </si>
  <si>
    <t>Selva &amp; Kumar</t>
  </si>
  <si>
    <t>Match 3</t>
  </si>
  <si>
    <t>Match 4</t>
  </si>
  <si>
    <t>Match 5</t>
  </si>
  <si>
    <t>Match 6</t>
  </si>
  <si>
    <t>LEAGUE STANDINGS</t>
  </si>
  <si>
    <t>Rank</t>
  </si>
  <si>
    <t>Team</t>
  </si>
  <si>
    <t>Played</t>
  </si>
  <si>
    <t>Won</t>
  </si>
  <si>
    <t>Lost</t>
  </si>
  <si>
    <t>Points</t>
  </si>
  <si>
    <t>Team 1 
Pts</t>
  </si>
  <si>
    <t>Team 2 
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</si>
</sst>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medium">
        <color indexed="64"/>
      </right>
      <top/>
      <bottom style="thin">
        <color rgb="FFB7B7B7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/>
      <diagonal/>
    </border>
    <border>
      <left style="thin">
        <color rgb="FFB7B7B7"/>
      </left>
      <right style="thin">
        <color rgb="FFB7B7B7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B7B7B7"/>
      </bottom>
      <diagonal/>
    </border>
    <border>
      <left style="medium">
        <color indexed="64"/>
      </left>
      <right/>
      <top style="thin">
        <color rgb="FFB7B7B7"/>
      </top>
      <bottom style="medium">
        <color indexed="64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medium">
        <color indexed="64"/>
      </right>
      <top style="thin">
        <color rgb="FFB7B7B7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0" xfId="0"/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pane ySplit="2" topLeftCell="A3" activePane="bottomLeft" state="frozen"/>
      <selection pane="bottomLeft" sqref="A1:H22"/>
    </sheetView>
  </sheetViews>
  <sheetFormatPr defaultRowHeight="15" x14ac:dyDescent="0.25"/>
  <cols>
    <col min="1" max="1" width="7.85546875" style="4" bestFit="1" customWidth="1"/>
    <col min="2" max="2" width="10.42578125" style="4" customWidth="1"/>
    <col min="3" max="3" width="18.85546875" style="4" bestFit="1" customWidth="1"/>
    <col min="4" max="4" width="10" style="3" customWidth="1"/>
    <col min="5" max="5" width="18.85546875" bestFit="1" customWidth="1"/>
    <col min="6" max="6" width="7.7109375" bestFit="1" customWidth="1"/>
    <col min="7" max="8" width="7.28515625" bestFit="1" customWidth="1"/>
  </cols>
  <sheetData>
    <row r="1" spans="1:8" ht="21.95" customHeight="1" thickBot="1" x14ac:dyDescent="0.4">
      <c r="A1" s="39" t="s">
        <v>0</v>
      </c>
      <c r="B1" s="40"/>
      <c r="C1" s="40"/>
      <c r="D1" s="40"/>
      <c r="E1" s="40"/>
      <c r="F1" s="40"/>
      <c r="G1" s="40"/>
      <c r="H1" s="40"/>
    </row>
    <row r="2" spans="1:8" ht="39.75" customHeight="1" thickBot="1" x14ac:dyDescent="0.3">
      <c r="A2" s="8" t="s">
        <v>5</v>
      </c>
      <c r="B2" s="11" t="s">
        <v>6</v>
      </c>
      <c r="C2" s="9" t="s">
        <v>7</v>
      </c>
      <c r="D2" s="11" t="s">
        <v>8</v>
      </c>
      <c r="E2" s="9" t="s">
        <v>7</v>
      </c>
      <c r="F2" s="10" t="s">
        <v>9</v>
      </c>
      <c r="G2" s="18" t="s">
        <v>27</v>
      </c>
      <c r="H2" s="19" t="s">
        <v>28</v>
      </c>
    </row>
    <row r="3" spans="1:8" ht="21.95" customHeight="1" x14ac:dyDescent="0.25">
      <c r="A3" s="41" t="s">
        <v>10</v>
      </c>
      <c r="B3" s="43" t="s">
        <v>1</v>
      </c>
      <c r="C3" s="58" t="s">
        <v>11</v>
      </c>
      <c r="D3" s="43" t="s">
        <v>2</v>
      </c>
      <c r="E3" s="45" t="s">
        <v>12</v>
      </c>
      <c r="F3" s="61" t="s">
        <v>1</v>
      </c>
      <c r="G3" s="20">
        <v>0</v>
      </c>
      <c r="H3" s="21">
        <f t="shared" ref="H3:H9" si="0">IF(F3=D3,2,IF(F3=B3,0,""))</f>
        <v>0</v>
      </c>
    </row>
    <row r="4" spans="1:8" ht="21.95" customHeight="1" x14ac:dyDescent="0.25">
      <c r="A4" s="51"/>
      <c r="B4" s="52"/>
      <c r="C4" s="59"/>
      <c r="D4" s="52"/>
      <c r="E4" s="55"/>
      <c r="F4" s="62"/>
      <c r="G4" s="22"/>
      <c r="H4" s="23"/>
    </row>
    <row r="5" spans="1:8" ht="21.95" customHeight="1" thickBot="1" x14ac:dyDescent="0.3">
      <c r="A5" s="42"/>
      <c r="B5" s="44"/>
      <c r="C5" s="60"/>
      <c r="D5" s="44"/>
      <c r="E5" s="46"/>
      <c r="F5" s="63"/>
      <c r="G5" s="26"/>
      <c r="H5" s="27"/>
    </row>
    <row r="6" spans="1:8" ht="21.95" customHeight="1" x14ac:dyDescent="0.25">
      <c r="A6" s="51" t="s">
        <v>13</v>
      </c>
      <c r="B6" s="52" t="s">
        <v>3</v>
      </c>
      <c r="C6" s="53" t="s">
        <v>14</v>
      </c>
      <c r="D6" s="52" t="s">
        <v>4</v>
      </c>
      <c r="E6" s="55" t="s">
        <v>15</v>
      </c>
      <c r="F6" s="56" t="s">
        <v>3</v>
      </c>
      <c r="G6" s="20">
        <v>8</v>
      </c>
      <c r="H6" s="28">
        <v>15</v>
      </c>
    </row>
    <row r="7" spans="1:8" ht="21.95" customHeight="1" x14ac:dyDescent="0.25">
      <c r="A7" s="51"/>
      <c r="B7" s="52"/>
      <c r="C7" s="53"/>
      <c r="D7" s="52"/>
      <c r="E7" s="55"/>
      <c r="F7" s="56"/>
      <c r="G7" s="29">
        <v>15</v>
      </c>
      <c r="H7" s="23">
        <v>13</v>
      </c>
    </row>
    <row r="8" spans="1:8" ht="21.95" customHeight="1" thickBot="1" x14ac:dyDescent="0.3">
      <c r="A8" s="42"/>
      <c r="B8" s="44"/>
      <c r="C8" s="54"/>
      <c r="D8" s="44"/>
      <c r="E8" s="46"/>
      <c r="F8" s="57"/>
      <c r="G8" s="32">
        <v>15</v>
      </c>
      <c r="H8" s="27">
        <v>14</v>
      </c>
    </row>
    <row r="9" spans="1:8" ht="21.95" customHeight="1" x14ac:dyDescent="0.25">
      <c r="A9" s="41" t="s">
        <v>16</v>
      </c>
      <c r="B9" s="43" t="s">
        <v>1</v>
      </c>
      <c r="C9" s="45" t="s">
        <v>11</v>
      </c>
      <c r="D9" s="43" t="s">
        <v>3</v>
      </c>
      <c r="E9" s="45" t="s">
        <v>14</v>
      </c>
      <c r="F9" s="30"/>
      <c r="G9" s="20" t="str">
        <f t="shared" ref="G9" si="1">IF(F9=B9,2,IF(F9=D9,0,""))</f>
        <v/>
      </c>
      <c r="H9" s="21" t="str">
        <f t="shared" si="0"/>
        <v/>
      </c>
    </row>
    <row r="10" spans="1:8" ht="21.95" customHeight="1" thickBot="1" x14ac:dyDescent="0.3">
      <c r="A10" s="42"/>
      <c r="B10" s="44"/>
      <c r="C10" s="46"/>
      <c r="D10" s="44"/>
      <c r="E10" s="46"/>
      <c r="F10" s="31"/>
      <c r="G10" s="26"/>
      <c r="H10" s="27"/>
    </row>
    <row r="11" spans="1:8" ht="21.95" customHeight="1" x14ac:dyDescent="0.25">
      <c r="A11" s="70" t="s">
        <v>17</v>
      </c>
      <c r="B11" s="43" t="s">
        <v>2</v>
      </c>
      <c r="C11" s="70" t="s">
        <v>12</v>
      </c>
      <c r="D11" s="43" t="s">
        <v>4</v>
      </c>
      <c r="E11" s="49" t="s">
        <v>15</v>
      </c>
      <c r="F11" s="49" t="s">
        <v>4</v>
      </c>
      <c r="G11" s="20">
        <v>12</v>
      </c>
      <c r="H11" s="21">
        <v>15</v>
      </c>
    </row>
    <row r="12" spans="1:8" s="17" customFormat="1" ht="21.95" customHeight="1" thickBot="1" x14ac:dyDescent="0.3">
      <c r="A12" s="71"/>
      <c r="B12" s="44"/>
      <c r="C12" s="71"/>
      <c r="D12" s="44"/>
      <c r="E12" s="50"/>
      <c r="F12" s="50"/>
      <c r="G12" s="24">
        <v>9</v>
      </c>
      <c r="H12" s="25">
        <v>15</v>
      </c>
    </row>
    <row r="13" spans="1:8" ht="27.75" customHeight="1" x14ac:dyDescent="0.25">
      <c r="A13" s="41" t="s">
        <v>18</v>
      </c>
      <c r="B13" s="43" t="s">
        <v>1</v>
      </c>
      <c r="C13" s="45" t="s">
        <v>11</v>
      </c>
      <c r="D13" s="43" t="s">
        <v>4</v>
      </c>
      <c r="E13" s="47" t="s">
        <v>15</v>
      </c>
      <c r="F13" s="49" t="s">
        <v>4</v>
      </c>
      <c r="G13" s="7">
        <v>11</v>
      </c>
      <c r="H13" s="6">
        <v>15</v>
      </c>
    </row>
    <row r="14" spans="1:8" ht="29.25" customHeight="1" thickBot="1" x14ac:dyDescent="0.3">
      <c r="A14" s="42"/>
      <c r="B14" s="44"/>
      <c r="C14" s="46"/>
      <c r="D14" s="44"/>
      <c r="E14" s="48"/>
      <c r="F14" s="50"/>
      <c r="G14" s="33">
        <v>9</v>
      </c>
      <c r="H14" s="34">
        <v>15</v>
      </c>
    </row>
    <row r="15" spans="1:8" ht="21.95" customHeight="1" x14ac:dyDescent="0.25">
      <c r="A15" s="41" t="s">
        <v>19</v>
      </c>
      <c r="B15" s="43" t="s">
        <v>2</v>
      </c>
      <c r="C15" s="45" t="s">
        <v>12</v>
      </c>
      <c r="D15" s="43" t="s">
        <v>3</v>
      </c>
      <c r="E15" s="67" t="s">
        <v>14</v>
      </c>
      <c r="F15" s="69" t="s">
        <v>3</v>
      </c>
      <c r="G15" s="20"/>
      <c r="H15" s="21"/>
    </row>
    <row r="16" spans="1:8" ht="21.95" customHeight="1" thickBot="1" x14ac:dyDescent="0.3">
      <c r="A16" s="42"/>
      <c r="B16" s="44"/>
      <c r="C16" s="46"/>
      <c r="D16" s="44"/>
      <c r="E16" s="68"/>
      <c r="F16" s="57"/>
      <c r="G16" s="24"/>
      <c r="H16" s="25"/>
    </row>
    <row r="17" spans="1:8" ht="21.95" customHeight="1" x14ac:dyDescent="0.25">
      <c r="A17" s="64" t="s">
        <v>20</v>
      </c>
      <c r="B17" s="65"/>
      <c r="C17" s="65"/>
      <c r="D17" s="65"/>
      <c r="E17" s="65"/>
      <c r="F17" s="65"/>
      <c r="G17" s="65"/>
      <c r="H17" s="66"/>
    </row>
    <row r="18" spans="1:8" ht="21.95" customHeight="1" x14ac:dyDescent="0.25">
      <c r="A18" s="13" t="s">
        <v>21</v>
      </c>
      <c r="B18" s="13" t="s">
        <v>22</v>
      </c>
      <c r="C18" s="13" t="s">
        <v>7</v>
      </c>
      <c r="D18" s="13" t="s">
        <v>23</v>
      </c>
      <c r="E18" s="13" t="s">
        <v>24</v>
      </c>
      <c r="F18" s="13" t="s">
        <v>25</v>
      </c>
      <c r="G18" s="13" t="s">
        <v>26</v>
      </c>
      <c r="H18" s="14"/>
    </row>
    <row r="19" spans="1:8" ht="21.95" customHeight="1" x14ac:dyDescent="0.25">
      <c r="A19" s="16">
        <f>RANK(G19,$G$19:$G$22,0)</f>
        <v>3</v>
      </c>
      <c r="B19" s="16" t="s">
        <v>1</v>
      </c>
      <c r="C19" s="16" t="s">
        <v>11</v>
      </c>
      <c r="D19" s="16">
        <v>2</v>
      </c>
      <c r="E19" s="16">
        <f>COUNTIF($F$3:$F$15,B19)</f>
        <v>1</v>
      </c>
      <c r="F19" s="16">
        <v>1</v>
      </c>
      <c r="G19" s="16">
        <v>2</v>
      </c>
      <c r="H19" s="14"/>
    </row>
    <row r="20" spans="1:8" ht="21.95" customHeight="1" x14ac:dyDescent="0.25">
      <c r="A20" s="15">
        <f>RANK(G20,$G$19:$G$22,0)</f>
        <v>4</v>
      </c>
      <c r="B20" s="15" t="s">
        <v>2</v>
      </c>
      <c r="C20" s="15" t="s">
        <v>12</v>
      </c>
      <c r="D20" s="15">
        <v>3</v>
      </c>
      <c r="E20" s="15">
        <v>0</v>
      </c>
      <c r="F20" s="15">
        <f>D20-E20</f>
        <v>3</v>
      </c>
      <c r="G20" s="15">
        <v>0</v>
      </c>
      <c r="H20" s="14"/>
    </row>
    <row r="21" spans="1:8" ht="21.95" customHeight="1" x14ac:dyDescent="0.25">
      <c r="A21" s="35">
        <f>RANK(G21,$G$19:$G$22,0)</f>
        <v>1</v>
      </c>
      <c r="B21" s="35" t="s">
        <v>3</v>
      </c>
      <c r="C21" s="35" t="s">
        <v>14</v>
      </c>
      <c r="D21" s="35">
        <v>2</v>
      </c>
      <c r="E21" s="35">
        <v>2</v>
      </c>
      <c r="F21" s="35">
        <f>D21-E21</f>
        <v>0</v>
      </c>
      <c r="G21" s="36">
        <v>4</v>
      </c>
      <c r="H21" s="14"/>
    </row>
    <row r="22" spans="1:8" ht="21.95" customHeight="1" x14ac:dyDescent="0.25">
      <c r="A22" s="37">
        <f>RANK(G22,$G$19:$G$22,0)</f>
        <v>1</v>
      </c>
      <c r="B22" s="37" t="s">
        <v>4</v>
      </c>
      <c r="C22" s="37" t="s">
        <v>15</v>
      </c>
      <c r="D22" s="37">
        <v>3</v>
      </c>
      <c r="E22" s="37">
        <v>2</v>
      </c>
      <c r="F22" s="37">
        <f>D22-E22</f>
        <v>1</v>
      </c>
      <c r="G22" s="38">
        <v>4</v>
      </c>
      <c r="H22" s="14"/>
    </row>
    <row r="23" spans="1:8" ht="21.95" customHeight="1" x14ac:dyDescent="0.25">
      <c r="A23" s="5"/>
      <c r="B23" s="5"/>
      <c r="C23" s="5"/>
      <c r="D23" s="5"/>
      <c r="E23" s="12"/>
      <c r="F23" s="12"/>
      <c r="G23" s="12"/>
      <c r="H23" s="12"/>
    </row>
    <row r="24" spans="1:8" ht="21.95" customHeight="1" x14ac:dyDescent="0.25">
      <c r="A24" s="2"/>
      <c r="B24" s="2"/>
      <c r="C24" s="2"/>
      <c r="D24" s="2"/>
      <c r="E24" s="1"/>
      <c r="F24" s="1"/>
      <c r="G24" s="1"/>
      <c r="H24" s="1"/>
    </row>
  </sheetData>
  <mergeCells count="37">
    <mergeCell ref="B11:B12"/>
    <mergeCell ref="C11:C12"/>
    <mergeCell ref="E11:E12"/>
    <mergeCell ref="D11:D12"/>
    <mergeCell ref="F11:F12"/>
    <mergeCell ref="D3:D5"/>
    <mergeCell ref="E3:E5"/>
    <mergeCell ref="F3:F5"/>
    <mergeCell ref="A17:H17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  <mergeCell ref="F15:F16"/>
    <mergeCell ref="A11:A12"/>
    <mergeCell ref="A1:H1"/>
    <mergeCell ref="A13:A14"/>
    <mergeCell ref="B13:B14"/>
    <mergeCell ref="C13:C14"/>
    <mergeCell ref="D13:D14"/>
    <mergeCell ref="E13:E14"/>
    <mergeCell ref="F13:F14"/>
    <mergeCell ref="A6:A8"/>
    <mergeCell ref="B6:B8"/>
    <mergeCell ref="C6:C8"/>
    <mergeCell ref="D6:D8"/>
    <mergeCell ref="E6:E8"/>
    <mergeCell ref="F6:F8"/>
    <mergeCell ref="A3:A5"/>
    <mergeCell ref="B3:B5"/>
    <mergeCell ref="C3:C5"/>
  </mergeCells>
  <conditionalFormatting sqref="G20">
    <cfRule type="expression" dxfId="0" priority="1">
      <formula>G20=MAX($G$19:$G$22)</formula>
    </cfRule>
  </conditionalFormatting>
  <dataValidations count="1">
    <dataValidation type="list" allowBlank="1" sqref="F6 F15 F9 F3 F13 F11">
      <formula1>"Team A,Team B,Team C,Team D"</formula1>
    </dataValidation>
  </dataValidation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lastPrinted>2026-09-26T15:12:19Z</cp:lastPrinted>
  <dcterms:created xsi:type="dcterms:W3CDTF">2026-09-25T13:21:38Z</dcterms:created>
  <dcterms:modified xsi:type="dcterms:W3CDTF">2026-09-27T11:42:51Z</dcterms:modified>
</cp:coreProperties>
</file>